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bea3251a01daed/Dokumente/GeoCaching/_Wegpunkte/"/>
    </mc:Choice>
  </mc:AlternateContent>
  <xr:revisionPtr revIDLastSave="49" documentId="8_{E0BAE0BF-1CE8-4359-98C4-D447AB7AC189}" xr6:coauthVersionLast="47" xr6:coauthVersionMax="47" xr10:uidLastSave="{C936E1C5-C294-4B63-A3F1-35BE4AEA86E6}"/>
  <bookViews>
    <workbookView xWindow="-120" yWindow="-120" windowWidth="29040" windowHeight="17520" xr2:uid="{4A6B1F0C-91F8-44F0-8786-959398415198}"/>
  </bookViews>
  <sheets>
    <sheet name="Wegpunkte" sheetId="1" r:id="rId1"/>
    <sheet name="Symbole" sheetId="4" r:id="rId2"/>
    <sheet name="Hilfe" sheetId="3" r:id="rId3"/>
  </sheets>
  <definedNames>
    <definedName name="Symbole" localSheetId="1">Tabelle2[Symbole]</definedName>
    <definedName name="Symbol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4" i="1"/>
</calcChain>
</file>

<file path=xl/sharedStrings.xml><?xml version="1.0" encoding="utf-8"?>
<sst xmlns="http://schemas.openxmlformats.org/spreadsheetml/2006/main" count="441" uniqueCount="199">
  <si>
    <t>lat</t>
  </si>
  <si>
    <t>lon</t>
  </si>
  <si>
    <t>Name</t>
  </si>
  <si>
    <t>Grad Dezimal</t>
  </si>
  <si>
    <t>Zieldatei:</t>
  </si>
  <si>
    <t>Symbol</t>
  </si>
  <si>
    <t>Hinweis</t>
  </si>
  <si>
    <t>Grad - Minuten Dezimal</t>
  </si>
  <si>
    <t>N-Grad</t>
  </si>
  <si>
    <t>N-Minuten</t>
  </si>
  <si>
    <t>E-Grad</t>
  </si>
  <si>
    <t>E- Minuten</t>
  </si>
  <si>
    <t>Zelle B1 muss einen kompletten Pfad einschließlich Dateiname enthalten.</t>
  </si>
  <si>
    <t>Exportiert werden nur die Spalten A-E ab Zeile 4.</t>
  </si>
  <si>
    <t>Spalte A enthält den Namen wie er im Garmin oder c:geo angezeigt wird.</t>
  </si>
  <si>
    <t>Spalte B kann zusätzlichen Text enthalten.</t>
  </si>
  <si>
    <t>In Spalte E kann mit einem Drop-Down ein Symbol ausgewählt werden. Dieses Symbol wird aktuell nur vom Garmin auf der Karte angezeigt. Dass Drop-Down füllt sich aus der Tabelle in Spalte A des Blattes "Symbole". Die Tabelle kann angepasst werden. 
Verschiedene Garmin sollen auch alle weiteren Symbole auf dem Blatt kennen. Sollen sie genutzt werden, müssen sie in die Tabelle eingefügt werden.</t>
  </si>
  <si>
    <t>O</t>
  </si>
  <si>
    <t>Koordinaten</t>
  </si>
  <si>
    <t>W / O</t>
  </si>
  <si>
    <t>N / S</t>
  </si>
  <si>
    <t>N</t>
  </si>
  <si>
    <t>Grotenburg</t>
  </si>
  <si>
    <t>Hellberg</t>
  </si>
  <si>
    <t>Bielstein</t>
  </si>
  <si>
    <t>Kanzel</t>
  </si>
  <si>
    <t>Allhornberg</t>
  </si>
  <si>
    <t>Großer Ehberg</t>
  </si>
  <si>
    <t>Hörster Berg</t>
  </si>
  <si>
    <t>Hermannsberg</t>
  </si>
  <si>
    <t>Stapellager Berg</t>
  </si>
  <si>
    <t>Hunneckenkammer</t>
  </si>
  <si>
    <t>Mämerisch</t>
  </si>
  <si>
    <t>Ravensberg</t>
  </si>
  <si>
    <t>Tönsberg</t>
  </si>
  <si>
    <t>Klöppingsberg</t>
  </si>
  <si>
    <t>Kortewebelshals</t>
  </si>
  <si>
    <t>386m (Hermannsdenkmal)</t>
  </si>
  <si>
    <t>346m</t>
  </si>
  <si>
    <t>394m</t>
  </si>
  <si>
    <t>351m</t>
  </si>
  <si>
    <t>316m</t>
  </si>
  <si>
    <t>340m</t>
  </si>
  <si>
    <t>308m</t>
  </si>
  <si>
    <t>364m</t>
  </si>
  <si>
    <t>365m</t>
  </si>
  <si>
    <t>326m</t>
  </si>
  <si>
    <t>310m</t>
  </si>
  <si>
    <t>305m</t>
  </si>
  <si>
    <t>333m</t>
  </si>
  <si>
    <t>393m</t>
  </si>
  <si>
    <t>386m</t>
  </si>
  <si>
    <t>D:\OneDrive\Dokumente\GeoCaching\gpx\Berggipfel.gpx</t>
  </si>
  <si>
    <t>Durch drücken der Schaltfläche "Datei erzeugen" in A1 wird die in B1 angegebene Datei erstellt. Diese Datei wird vom Garmin etrex 30, GPSMAP 65 und c:geo verstanden. Ich weiß noch nicht, welche Felder c:geo auswertet und welche Werte es akzeptiert, darum werden aus dieser Datei importierte Wegpunkte aktuell als Cache unbekannter Art angezeigt.</t>
  </si>
  <si>
    <t>Die Spalten F bis K dienen zur Eingabe der Koordinaten in anderen Formaten und müssen dann mit einer entsprechenden Formel in die Spalten C und D in Grad Dezimal umgerechnet werden.</t>
  </si>
  <si>
    <t>Spalte C enthält die Nord-Koordinate, Spalte D die Ost-Koordinate.</t>
  </si>
  <si>
    <t>Velmerstot</t>
  </si>
  <si>
    <t>464m</t>
  </si>
  <si>
    <t>Symbole</t>
  </si>
  <si>
    <t>Points of Interest</t>
  </si>
  <si>
    <t>Zeichen</t>
  </si>
  <si>
    <t>Seezeichen</t>
  </si>
  <si>
    <t>Verkehrsmittel</t>
  </si>
  <si>
    <t>Behörde</t>
  </si>
  <si>
    <t>Marine</t>
  </si>
  <si>
    <t>Jagd</t>
  </si>
  <si>
    <t>Im Freien</t>
  </si>
  <si>
    <t>Marker</t>
  </si>
  <si>
    <t>Airport</t>
  </si>
  <si>
    <t>Gas Station</t>
  </si>
  <si>
    <t>Shopping Center</t>
  </si>
  <si>
    <t>Navaid, Amber</t>
  </si>
  <si>
    <t>Car</t>
  </si>
  <si>
    <t>Residence</t>
  </si>
  <si>
    <t>Anchor</t>
  </si>
  <si>
    <t>Upland Game</t>
  </si>
  <si>
    <t>Campground</t>
  </si>
  <si>
    <t>Flag, Blue</t>
  </si>
  <si>
    <t>Amusement Park</t>
  </si>
  <si>
    <t>Convenience Store</t>
  </si>
  <si>
    <t>Picnic Area</t>
  </si>
  <si>
    <t>Navaid, Black</t>
  </si>
  <si>
    <t>Car Rental</t>
  </si>
  <si>
    <t>Fishing Hot Spot Facility</t>
  </si>
  <si>
    <t>Fishing Area</t>
  </si>
  <si>
    <t>Waterfowl</t>
  </si>
  <si>
    <t>Trail Head</t>
  </si>
  <si>
    <t>Flag, Green</t>
  </si>
  <si>
    <t>Bank</t>
  </si>
  <si>
    <t>Telephone</t>
  </si>
  <si>
    <t>Navaid, Blue</t>
  </si>
  <si>
    <t>Car Repair</t>
  </si>
  <si>
    <t>Building</t>
  </si>
  <si>
    <t>Man Overboard</t>
  </si>
  <si>
    <t>Furbearer</t>
  </si>
  <si>
    <t>Park</t>
  </si>
  <si>
    <t>Flag, Red</t>
  </si>
  <si>
    <t>Animal Tracks</t>
  </si>
  <si>
    <t>Bar</t>
  </si>
  <si>
    <t>Navaid, Green/White</t>
  </si>
  <si>
    <t>Church</t>
  </si>
  <si>
    <t>Diver Down Flag 1</t>
  </si>
  <si>
    <t>Big Game</t>
  </si>
  <si>
    <t>Forest</t>
  </si>
  <si>
    <t>Civil</t>
  </si>
  <si>
    <t>ATV</t>
  </si>
  <si>
    <t>Department Store</t>
  </si>
  <si>
    <t>Restroom</t>
  </si>
  <si>
    <t>Navaid, Green</t>
  </si>
  <si>
    <t>Cemetery</t>
  </si>
  <si>
    <t>Diver Down Flag 2</t>
  </si>
  <si>
    <t>Small Game</t>
  </si>
  <si>
    <t>Summit</t>
  </si>
  <si>
    <t>Pin, Blue</t>
  </si>
  <si>
    <t>Ball Park</t>
  </si>
  <si>
    <t>Movie Theater</t>
  </si>
  <si>
    <t>Information</t>
  </si>
  <si>
    <t>Navaid, Green/Red</t>
  </si>
  <si>
    <t>Scales</t>
  </si>
  <si>
    <t>Horn</t>
  </si>
  <si>
    <t>Beach</t>
  </si>
  <si>
    <t>Covey</t>
  </si>
  <si>
    <t>Pin, Green</t>
  </si>
  <si>
    <t>Fast Food</t>
  </si>
  <si>
    <t>Restaurant</t>
  </si>
  <si>
    <t>Navaid, Orange</t>
  </si>
  <si>
    <t>Tall Tower</t>
  </si>
  <si>
    <t>Skull and Crossbones</t>
  </si>
  <si>
    <t>Cover</t>
  </si>
  <si>
    <t>Geocache</t>
  </si>
  <si>
    <t>Pin, Red</t>
  </si>
  <si>
    <t>Pizza</t>
  </si>
  <si>
    <t>Lodging</t>
  </si>
  <si>
    <t>Navaid, Red/Green</t>
  </si>
  <si>
    <t>School</t>
  </si>
  <si>
    <t>Short Tower</t>
  </si>
  <si>
    <t>Light</t>
  </si>
  <si>
    <t>Treed Quarry</t>
  </si>
  <si>
    <t>Geocache Found</t>
  </si>
  <si>
    <t>Golf Course</t>
  </si>
  <si>
    <t>Shower</t>
  </si>
  <si>
    <t>Navaid, Red/White</t>
  </si>
  <si>
    <t>Truck Stop</t>
  </si>
  <si>
    <t>Radio Beacon</t>
  </si>
  <si>
    <t>Buoy, White</t>
  </si>
  <si>
    <t>Water Source</t>
  </si>
  <si>
    <t>Block, Blue</t>
  </si>
  <si>
    <t>Bell</t>
  </si>
  <si>
    <t>Boat Ramp</t>
  </si>
  <si>
    <t>Navaid, Red</t>
  </si>
  <si>
    <t>Wrecker</t>
  </si>
  <si>
    <t>Oil Field</t>
  </si>
  <si>
    <t>Shipwreck</t>
  </si>
  <si>
    <t>Food Source</t>
  </si>
  <si>
    <t>Block, Green</t>
  </si>
  <si>
    <t>Skiing Area</t>
  </si>
  <si>
    <t>Navaid, Violet</t>
  </si>
  <si>
    <t>Tunnel</t>
  </si>
  <si>
    <t>Mine</t>
  </si>
  <si>
    <t>Block, Red</t>
  </si>
  <si>
    <t>Bike Trail</t>
  </si>
  <si>
    <t>Swimming Area</t>
  </si>
  <si>
    <t>Navaid, White</t>
  </si>
  <si>
    <t>Toll Booth</t>
  </si>
  <si>
    <t>Drinking Water</t>
  </si>
  <si>
    <t>Blood Trail</t>
  </si>
  <si>
    <t>Stadium</t>
  </si>
  <si>
    <t>Blind</t>
  </si>
  <si>
    <t>Fitness Center</t>
  </si>
  <si>
    <t>Navaid, White/Green</t>
  </si>
  <si>
    <t>Controlled Area</t>
  </si>
  <si>
    <t>Truck</t>
  </si>
  <si>
    <t>RV Park</t>
  </si>
  <si>
    <t>Live Theater</t>
  </si>
  <si>
    <t>Ice Skating</t>
  </si>
  <si>
    <t>Navaid, White/Red</t>
  </si>
  <si>
    <t>Crossing</t>
  </si>
  <si>
    <t>Restricted Area</t>
  </si>
  <si>
    <t>Scenic Area</t>
  </si>
  <si>
    <t>Medical Facility</t>
  </si>
  <si>
    <t>Danger Area</t>
  </si>
  <si>
    <t>Lodge</t>
  </si>
  <si>
    <t>Ski Resort</t>
  </si>
  <si>
    <t>Pharmacy</t>
  </si>
  <si>
    <t>Bridge</t>
  </si>
  <si>
    <t>Post Office</t>
  </si>
  <si>
    <t>Parking Area</t>
  </si>
  <si>
    <t>Police Station</t>
  </si>
  <si>
    <t>Museum</t>
  </si>
  <si>
    <t>Dam</t>
  </si>
  <si>
    <t>Tree Stand</t>
  </si>
  <si>
    <t>Bowling</t>
  </si>
  <si>
    <t>City (Small)</t>
  </si>
  <si>
    <t>Parachute Area</t>
  </si>
  <si>
    <t>City (Medium)</t>
  </si>
  <si>
    <t>Glider Area</t>
  </si>
  <si>
    <t>City (Large)</t>
  </si>
  <si>
    <t>Zoo</t>
  </si>
  <si>
    <t>Ultralight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</si>
</sst>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3" fillId="0" borderId="0" xfId="0" applyFont="1"/>
    <xf numFmtId="0" fontId="0" fillId="2" borderId="0" xfId="0" applyFill="1"/>
    <xf numFmtId="49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Standard" xfId="0" builtinId="0"/>
  </cellStyles>
  <dxfs count="21"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numFmt numFmtId="164" formatCode="0.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0</xdr:col>
          <xdr:colOff>1085850</xdr:colOff>
          <xdr:row>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Datei erzeugen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0AD3F9-D6F0-46CA-B5AD-FA9F2F11C3F2}" name="Tabelle1" displayName="Tabelle1" ref="A3:L19" totalsRowShown="0" dataDxfId="20">
  <autoFilter ref="A3:L19" xr:uid="{940C14E2-BD88-4040-AA9C-7991E168FC2D}"/>
  <sortState xmlns:xlrd2="http://schemas.microsoft.com/office/spreadsheetml/2017/richdata2" ref="A4:L19">
    <sortCondition ref="A3:A19"/>
  </sortState>
  <tableColumns count="12">
    <tableColumn id="1" xr3:uid="{A3F1A1CF-AC18-4C07-8CE3-1CFE0A57DF09}" name="Name"/>
    <tableColumn id="4" xr3:uid="{9A94015A-B3CC-4C93-BFCF-04ABC6918F73}" name="Hinweis"/>
    <tableColumn id="2" xr3:uid="{12DD7C40-5E38-4692-AFE6-77798B31D400}" name="lat" dataDxfId="19">
      <calculatedColumnFormula>Tabelle1[[#This Row],[N-Grad]]+Tabelle1[[#This Row],[N-Minuten]]/60</calculatedColumnFormula>
    </tableColumn>
    <tableColumn id="3" xr3:uid="{9918B02A-B80E-44A6-99B6-0CB3081E5833}" name="lon" dataDxfId="18">
      <calculatedColumnFormula>Tabelle1[[#This Row],[E-Grad]]+Tabelle1[[#This Row],[E- Minuten]]/60</calculatedColumnFormula>
    </tableColumn>
    <tableColumn id="5" xr3:uid="{881B7F59-18F2-4CAC-AAD5-101261E7E344}" name="Symbol" dataDxfId="17" totalsRowDxfId="16"/>
    <tableColumn id="12" xr3:uid="{08C676BA-B8B4-4BB2-940F-F657CF8F9E73}" name="N / S" dataDxfId="15" totalsRowDxfId="14"/>
    <tableColumn id="7" xr3:uid="{2B8CC32E-3B09-4476-8910-A6FBE692CBDD}" name="N-Grad" dataDxfId="13" totalsRowDxfId="12"/>
    <tableColumn id="8" xr3:uid="{91F3452B-8E06-460F-BC98-89828704DC76}" name="N-Minuten" dataDxfId="11" totalsRowDxfId="10"/>
    <tableColumn id="6" xr3:uid="{40A37407-26B2-4536-A5B1-A5BF1F2DBD85}" name="W / O" dataDxfId="9" totalsRowDxfId="8"/>
    <tableColumn id="9" xr3:uid="{49BED7FA-14AE-4DCD-A23E-44C66089BD05}" name="E-Grad" dataDxfId="7" totalsRowDxfId="6"/>
    <tableColumn id="10" xr3:uid="{843A6034-9A3C-4A5B-BA64-9504786BC283}" name="E- Minuten" dataDxfId="5" totalsRowDxfId="4"/>
    <tableColumn id="11" xr3:uid="{6334775D-F75D-4D79-8EA1-D29BCACE98D0}" name="Koordinaten" dataDxfId="3" totalsRowDxfId="2">
      <calculatedColumnFormula>SUBSTITUTE(SUBSTITUTE(CONCATENATE("N ",Tabelle1[[#This Row],[N-Grad]],"° ",Tabelle1[[#This Row],[N-Minuten]],"' ",Tabelle1[[#This Row],[W / O]]," ",Tabelle1[[#This Row],[E-Grad]],"° ",Tabelle1[[#This Row],[E- Minuten]],"'"),",","."),"O","E")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BB4951-335B-4809-B2D1-3C38026FF88A}" name="Tabelle2" displayName="Tabelle2" ref="A1:A132" totalsRowShown="0" dataDxfId="1">
  <autoFilter ref="A1:A132" xr:uid="{15DE1FF1-FE47-4241-A5F0-DCCCEE2FFDEA}"/>
  <sortState xmlns:xlrd2="http://schemas.microsoft.com/office/spreadsheetml/2017/richdata2" ref="A2:A132">
    <sortCondition ref="A1:A132"/>
  </sortState>
  <tableColumns count="1">
    <tableColumn id="1" xr3:uid="{F32A6F89-CA33-42A0-BAEE-AEF96B820DFD}" name="Symbole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0BD9-56ED-4384-B4EB-C7C80EA905C9}">
  <sheetPr codeName="Tabelle1"/>
  <dimension ref="A1:L19"/>
  <sheetViews>
    <sheetView tabSelected="1" zoomScale="110" zoomScaleNormal="110" workbookViewId="0">
      <pane ySplit="3" topLeftCell="A4" activePane="bottomLeft" state="frozen"/>
      <selection pane="bottomLeft" activeCell="A2" sqref="A2"/>
    </sheetView>
  </sheetViews>
  <sheetFormatPr baseColWidth="10" defaultRowHeight="15" x14ac:dyDescent="0.25"/>
  <cols>
    <col min="1" max="1" width="26.7109375" customWidth="1"/>
    <col min="2" max="2" width="24.42578125" customWidth="1"/>
    <col min="3" max="4" width="13.7109375" style="1" customWidth="1"/>
    <col min="5" max="5" width="20" style="8" bestFit="1" customWidth="1"/>
    <col min="6" max="6" width="13.7109375" style="1" customWidth="1"/>
    <col min="7" max="7" width="12" style="3" bestFit="1" customWidth="1"/>
    <col min="8" max="8" width="15.42578125" style="4" bestFit="1" customWidth="1"/>
    <col min="9" max="9" width="12.140625" style="4" bestFit="1" customWidth="1"/>
    <col min="10" max="10" width="11.5703125" style="3" bestFit="1" customWidth="1"/>
    <col min="11" max="11" width="13.140625" style="5" bestFit="1" customWidth="1"/>
    <col min="12" max="12" width="34.7109375" bestFit="1" customWidth="1"/>
  </cols>
  <sheetData>
    <row r="1" spans="1:12" x14ac:dyDescent="0.25">
      <c r="A1" s="2" t="s">
        <v>4</v>
      </c>
      <c r="B1" s="13" t="s">
        <v>52</v>
      </c>
      <c r="C1" s="13"/>
      <c r="D1" s="13"/>
      <c r="E1" s="13"/>
      <c r="F1" s="7"/>
    </row>
    <row r="2" spans="1:12" x14ac:dyDescent="0.25">
      <c r="C2" s="12" t="s">
        <v>3</v>
      </c>
      <c r="D2" s="12"/>
      <c r="G2" s="14" t="s">
        <v>7</v>
      </c>
      <c r="H2" s="14"/>
      <c r="I2" s="14"/>
      <c r="J2" s="14"/>
      <c r="K2" s="14"/>
    </row>
    <row r="3" spans="1:12" x14ac:dyDescent="0.25">
      <c r="A3" t="s">
        <v>2</v>
      </c>
      <c r="B3" t="s">
        <v>6</v>
      </c>
      <c r="C3" s="1" t="s">
        <v>0</v>
      </c>
      <c r="D3" s="1" t="s">
        <v>1</v>
      </c>
      <c r="E3" s="8" t="s">
        <v>5</v>
      </c>
      <c r="F3" s="1" t="s">
        <v>20</v>
      </c>
      <c r="G3" s="3" t="s">
        <v>8</v>
      </c>
      <c r="H3" s="4" t="s">
        <v>9</v>
      </c>
      <c r="I3" s="4" t="s">
        <v>19</v>
      </c>
      <c r="J3" s="3" t="s">
        <v>10</v>
      </c>
      <c r="K3" s="5" t="s">
        <v>11</v>
      </c>
      <c r="L3" t="s">
        <v>18</v>
      </c>
    </row>
    <row r="4" spans="1:12" x14ac:dyDescent="0.25">
      <c r="A4" t="s">
        <v>26</v>
      </c>
      <c r="B4" t="s">
        <v>41</v>
      </c>
      <c r="C4" s="1">
        <f>Tabelle1[[#This Row],[N-Grad]]+Tabelle1[[#This Row],[N-Minuten]]/60</f>
        <v>51.922216666666664</v>
      </c>
      <c r="D4" s="1">
        <f>Tabelle1[[#This Row],[E-Grad]]+Tabelle1[[#This Row],[E- Minuten]]/60</f>
        <v>8.7909699999999997</v>
      </c>
      <c r="E4" s="8" t="s">
        <v>112</v>
      </c>
      <c r="F4" s="1" t="s">
        <v>21</v>
      </c>
      <c r="G4" s="3">
        <v>51</v>
      </c>
      <c r="H4" s="4">
        <v>55.332999999999998</v>
      </c>
      <c r="I4" s="4" t="s">
        <v>17</v>
      </c>
      <c r="J4" s="3">
        <v>8</v>
      </c>
      <c r="K4" s="4">
        <v>47.458199999999984</v>
      </c>
      <c r="L4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55.333' E 8° 47.4582'</v>
      </c>
    </row>
    <row r="5" spans="1:12" x14ac:dyDescent="0.25">
      <c r="A5" t="s">
        <v>24</v>
      </c>
      <c r="B5" t="s">
        <v>39</v>
      </c>
      <c r="C5" s="1">
        <f>Tabelle1[[#This Row],[N-Grad]]+Tabelle1[[#This Row],[N-Minuten]]/60</f>
        <v>51.90551</v>
      </c>
      <c r="D5" s="1">
        <f>Tabelle1[[#This Row],[E-Grad]]+Tabelle1[[#This Row],[E- Minuten]]/60</f>
        <v>8.8216099999999997</v>
      </c>
      <c r="E5" s="8" t="s">
        <v>112</v>
      </c>
      <c r="F5" s="1" t="s">
        <v>21</v>
      </c>
      <c r="G5" s="3">
        <v>51</v>
      </c>
      <c r="H5" s="4">
        <v>54.330599999999976</v>
      </c>
      <c r="I5" s="4" t="s">
        <v>17</v>
      </c>
      <c r="J5" s="3">
        <v>8</v>
      </c>
      <c r="K5" s="4">
        <v>49.296599999999984</v>
      </c>
      <c r="L5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54.3306' E 8° 49.2966'</v>
      </c>
    </row>
    <row r="6" spans="1:12" x14ac:dyDescent="0.25">
      <c r="A6" t="s">
        <v>27</v>
      </c>
      <c r="B6" t="s">
        <v>42</v>
      </c>
      <c r="C6" s="1">
        <f>Tabelle1[[#This Row],[N-Grad]]+Tabelle1[[#This Row],[N-Minuten]]/60</f>
        <v>51.924340000000001</v>
      </c>
      <c r="D6" s="1">
        <f>Tabelle1[[#This Row],[E-Grad]]+Tabelle1[[#This Row],[E- Minuten]]/60</f>
        <v>8.7801399999999994</v>
      </c>
      <c r="E6" s="8" t="s">
        <v>112</v>
      </c>
      <c r="F6" s="1" t="s">
        <v>21</v>
      </c>
      <c r="G6" s="3">
        <v>51</v>
      </c>
      <c r="H6" s="4">
        <v>55.46040000000005</v>
      </c>
      <c r="I6" s="4" t="s">
        <v>17</v>
      </c>
      <c r="J6" s="3">
        <v>8</v>
      </c>
      <c r="K6" s="4">
        <v>46.808399999999963</v>
      </c>
      <c r="L6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55.4604' E 8° 46.8084'</v>
      </c>
    </row>
    <row r="7" spans="1:12" x14ac:dyDescent="0.25">
      <c r="A7" t="s">
        <v>22</v>
      </c>
      <c r="B7" t="s">
        <v>37</v>
      </c>
      <c r="C7" s="1">
        <f>Tabelle1[[#This Row],[N-Grad]]+Tabelle1[[#This Row],[N-Minuten]]/60</f>
        <v>51.911490000000001</v>
      </c>
      <c r="D7" s="1">
        <f>Tabelle1[[#This Row],[E-Grad]]+Tabelle1[[#This Row],[E- Minuten]]/60</f>
        <v>8.8394200000000005</v>
      </c>
      <c r="E7" s="8" t="s">
        <v>112</v>
      </c>
      <c r="F7" s="1" t="s">
        <v>21</v>
      </c>
      <c r="G7" s="3">
        <v>51</v>
      </c>
      <c r="H7" s="4">
        <v>54.689400000000035</v>
      </c>
      <c r="I7" s="4" t="s">
        <v>17</v>
      </c>
      <c r="J7" s="3">
        <v>8</v>
      </c>
      <c r="K7" s="4">
        <v>50.36520000000003</v>
      </c>
      <c r="L7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54.6894' E 8° 50.3652'</v>
      </c>
    </row>
    <row r="8" spans="1:12" x14ac:dyDescent="0.25">
      <c r="A8" t="s">
        <v>23</v>
      </c>
      <c r="B8" t="s">
        <v>38</v>
      </c>
      <c r="C8" s="1">
        <f>Tabelle1[[#This Row],[N-Grad]]+Tabelle1[[#This Row],[N-Minuten]]/60</f>
        <v>51.90508333333333</v>
      </c>
      <c r="D8" s="1">
        <f>Tabelle1[[#This Row],[E-Grad]]+Tabelle1[[#This Row],[E- Minuten]]/60</f>
        <v>8.8434699999999999</v>
      </c>
      <c r="E8" s="8" t="s">
        <v>112</v>
      </c>
      <c r="F8" s="1" t="s">
        <v>21</v>
      </c>
      <c r="G8" s="3">
        <v>51</v>
      </c>
      <c r="H8" s="4">
        <v>54.305</v>
      </c>
      <c r="I8" s="4" t="s">
        <v>17</v>
      </c>
      <c r="J8" s="3">
        <v>8</v>
      </c>
      <c r="K8" s="4">
        <v>50.608199999999997</v>
      </c>
      <c r="L8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54.305' E 8° 50.6082'</v>
      </c>
    </row>
    <row r="9" spans="1:12" x14ac:dyDescent="0.25">
      <c r="A9" t="s">
        <v>29</v>
      </c>
      <c r="B9" t="s">
        <v>44</v>
      </c>
      <c r="C9" s="1">
        <f>Tabelle1[[#This Row],[N-Grad]]+Tabelle1[[#This Row],[N-Minuten]]/60</f>
        <v>51.931849999999997</v>
      </c>
      <c r="D9" s="1">
        <f>Tabelle1[[#This Row],[E-Grad]]+Tabelle1[[#This Row],[E- Minuten]]/60</f>
        <v>8.7379599999999993</v>
      </c>
      <c r="E9" s="8" t="s">
        <v>112</v>
      </c>
      <c r="F9" s="1" t="s">
        <v>21</v>
      </c>
      <c r="G9" s="3">
        <v>51</v>
      </c>
      <c r="H9" s="4">
        <v>55.911000000000001</v>
      </c>
      <c r="I9" s="4" t="s">
        <v>17</v>
      </c>
      <c r="J9" s="3">
        <v>8</v>
      </c>
      <c r="K9" s="4">
        <v>44.277599999999957</v>
      </c>
      <c r="L9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55.911' E 8° 44.2776'</v>
      </c>
    </row>
    <row r="10" spans="1:12" x14ac:dyDescent="0.25">
      <c r="A10" t="s">
        <v>28</v>
      </c>
      <c r="B10" t="s">
        <v>43</v>
      </c>
      <c r="C10" s="1">
        <f>Tabelle1[[#This Row],[N-Grad]]+Tabelle1[[#This Row],[N-Minuten]]/60</f>
        <v>51.929000000000002</v>
      </c>
      <c r="D10" s="1">
        <f>Tabelle1[[#This Row],[E-Grad]]+Tabelle1[[#This Row],[E- Minuten]]/60</f>
        <v>8.7504799999999996</v>
      </c>
      <c r="E10" s="8" t="s">
        <v>112</v>
      </c>
      <c r="F10" s="1" t="s">
        <v>21</v>
      </c>
      <c r="G10" s="3">
        <v>51</v>
      </c>
      <c r="H10" s="4">
        <v>55.74</v>
      </c>
      <c r="I10" s="4" t="s">
        <v>17</v>
      </c>
      <c r="J10" s="3">
        <v>8</v>
      </c>
      <c r="K10" s="4">
        <v>45.028799999999976</v>
      </c>
      <c r="L10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55.74' E 8° 45.0288'</v>
      </c>
    </row>
    <row r="11" spans="1:12" x14ac:dyDescent="0.25">
      <c r="A11" t="s">
        <v>31</v>
      </c>
      <c r="B11" t="s">
        <v>46</v>
      </c>
      <c r="C11" s="1">
        <f>Tabelle1[[#This Row],[N-Grad]]+Tabelle1[[#This Row],[N-Minuten]]/60</f>
        <v>51.94466666666667</v>
      </c>
      <c r="D11" s="1">
        <f>Tabelle1[[#This Row],[E-Grad]]+Tabelle1[[#This Row],[E- Minuten]]/60</f>
        <v>8.7063900000000007</v>
      </c>
      <c r="E11" s="8" t="s">
        <v>112</v>
      </c>
      <c r="F11" s="1" t="s">
        <v>21</v>
      </c>
      <c r="G11" s="3">
        <v>51</v>
      </c>
      <c r="H11" s="4">
        <v>56.68</v>
      </c>
      <c r="I11" s="4" t="s">
        <v>17</v>
      </c>
      <c r="J11" s="3">
        <v>8</v>
      </c>
      <c r="K11" s="4">
        <v>42.383400000000044</v>
      </c>
      <c r="L11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56.68' E 8° 42.3834'</v>
      </c>
    </row>
    <row r="12" spans="1:12" x14ac:dyDescent="0.25">
      <c r="A12" t="s">
        <v>25</v>
      </c>
      <c r="B12" t="s">
        <v>40</v>
      </c>
      <c r="C12" s="1">
        <f>Tabelle1[[#This Row],[N-Grad]]+Tabelle1[[#This Row],[N-Minuten]]/60</f>
        <v>51.912266666666667</v>
      </c>
      <c r="D12" s="1">
        <f>Tabelle1[[#This Row],[E-Grad]]+Tabelle1[[#This Row],[E- Minuten]]/60</f>
        <v>8.8103899999999999</v>
      </c>
      <c r="E12" s="8" t="s">
        <v>112</v>
      </c>
      <c r="F12" s="1" t="s">
        <v>21</v>
      </c>
      <c r="G12" s="3">
        <v>51</v>
      </c>
      <c r="H12" s="4">
        <v>54.735999999999997</v>
      </c>
      <c r="I12" s="4" t="s">
        <v>17</v>
      </c>
      <c r="J12" s="3">
        <v>8</v>
      </c>
      <c r="K12" s="4">
        <v>48.623399999999997</v>
      </c>
      <c r="L12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54.736' E 8° 48.6234'</v>
      </c>
    </row>
    <row r="13" spans="1:12" x14ac:dyDescent="0.25">
      <c r="A13" t="s">
        <v>35</v>
      </c>
      <c r="B13" t="s">
        <v>50</v>
      </c>
      <c r="C13" s="1">
        <f>Tabelle1[[#This Row],[N-Grad]]+Tabelle1[[#This Row],[N-Minuten]]/60</f>
        <v>51.897533333333335</v>
      </c>
      <c r="D13" s="1">
        <f>Tabelle1[[#This Row],[E-Grad]]+Tabelle1[[#This Row],[E- Minuten]]/60</f>
        <v>8.8361000000000001</v>
      </c>
      <c r="E13" s="8" t="s">
        <v>112</v>
      </c>
      <c r="F13" s="1" t="s">
        <v>21</v>
      </c>
      <c r="G13" s="3">
        <v>51</v>
      </c>
      <c r="H13" s="4">
        <v>53.851999999999997</v>
      </c>
      <c r="I13" s="4" t="s">
        <v>17</v>
      </c>
      <c r="J13" s="3">
        <v>8</v>
      </c>
      <c r="K13" s="4">
        <v>50.165999999999997</v>
      </c>
      <c r="L13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53.852' E 8° 50.166'</v>
      </c>
    </row>
    <row r="14" spans="1:12" x14ac:dyDescent="0.25">
      <c r="A14" t="s">
        <v>36</v>
      </c>
      <c r="B14" t="s">
        <v>51</v>
      </c>
      <c r="C14" s="1">
        <f>Tabelle1[[#This Row],[N-Grad]]+Tabelle1[[#This Row],[N-Minuten]]/60</f>
        <v>51.886366666666667</v>
      </c>
      <c r="D14" s="1">
        <f>Tabelle1[[#This Row],[E-Grad]]+Tabelle1[[#This Row],[E- Minuten]]/60</f>
        <v>8.8368166666666674</v>
      </c>
      <c r="E14" s="8" t="s">
        <v>112</v>
      </c>
      <c r="F14" s="1" t="s">
        <v>21</v>
      </c>
      <c r="G14" s="3">
        <v>51</v>
      </c>
      <c r="H14" s="4">
        <v>53.182000000000002</v>
      </c>
      <c r="I14" s="4" t="s">
        <v>17</v>
      </c>
      <c r="J14" s="3">
        <v>8</v>
      </c>
      <c r="K14" s="4">
        <v>50.209000000000003</v>
      </c>
      <c r="L14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53.182' E 8° 50.209'</v>
      </c>
    </row>
    <row r="15" spans="1:12" x14ac:dyDescent="0.25">
      <c r="A15" t="s">
        <v>32</v>
      </c>
      <c r="B15" t="s">
        <v>47</v>
      </c>
      <c r="C15" s="1">
        <f>Tabelle1[[#This Row],[N-Grad]]+Tabelle1[[#This Row],[N-Minuten]]/60</f>
        <v>51.94229</v>
      </c>
      <c r="D15" s="1">
        <f>Tabelle1[[#This Row],[E-Grad]]+Tabelle1[[#This Row],[E- Minuten]]/60</f>
        <v>8.7020199999999992</v>
      </c>
      <c r="E15" s="8" t="s">
        <v>112</v>
      </c>
      <c r="F15" s="1" t="s">
        <v>21</v>
      </c>
      <c r="G15" s="3">
        <v>51</v>
      </c>
      <c r="H15" s="4">
        <v>56.537399999999991</v>
      </c>
      <c r="I15" s="4" t="s">
        <v>17</v>
      </c>
      <c r="J15" s="3">
        <v>8</v>
      </c>
      <c r="K15" s="4">
        <v>42.121199999999952</v>
      </c>
      <c r="L15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56.5374' E 8° 42.1212'</v>
      </c>
    </row>
    <row r="16" spans="1:12" x14ac:dyDescent="0.25">
      <c r="A16" t="s">
        <v>33</v>
      </c>
      <c r="B16" t="s">
        <v>48</v>
      </c>
      <c r="C16" s="1">
        <f>Tabelle1[[#This Row],[N-Grad]]+Tabelle1[[#This Row],[N-Minuten]]/60</f>
        <v>51.939816666666665</v>
      </c>
      <c r="D16" s="1">
        <f>Tabelle1[[#This Row],[E-Grad]]+Tabelle1[[#This Row],[E- Minuten]]/60</f>
        <v>8.6988099999999999</v>
      </c>
      <c r="E16" s="8" t="s">
        <v>112</v>
      </c>
      <c r="F16" s="1" t="s">
        <v>21</v>
      </c>
      <c r="G16" s="3">
        <v>51</v>
      </c>
      <c r="H16" s="4">
        <v>56.389000000000003</v>
      </c>
      <c r="I16" s="4" t="s">
        <v>17</v>
      </c>
      <c r="J16" s="3">
        <v>8</v>
      </c>
      <c r="K16" s="4">
        <v>41.928599999999996</v>
      </c>
      <c r="L16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56.389' E 8° 41.9286'</v>
      </c>
    </row>
    <row r="17" spans="1:12" x14ac:dyDescent="0.25">
      <c r="A17" t="s">
        <v>30</v>
      </c>
      <c r="B17" t="s">
        <v>45</v>
      </c>
      <c r="C17" s="1">
        <f>Tabelle1[[#This Row],[N-Grad]]+Tabelle1[[#This Row],[N-Minuten]]/60</f>
        <v>51.93685</v>
      </c>
      <c r="D17" s="1">
        <f>Tabelle1[[#This Row],[E-Grad]]+Tabelle1[[#This Row],[E- Minuten]]/60</f>
        <v>8.7242999999999995</v>
      </c>
      <c r="E17" s="8" t="s">
        <v>112</v>
      </c>
      <c r="F17" s="1" t="s">
        <v>21</v>
      </c>
      <c r="G17" s="3">
        <v>51</v>
      </c>
      <c r="H17" s="4">
        <v>56.210999999999984</v>
      </c>
      <c r="I17" s="4" t="s">
        <v>17</v>
      </c>
      <c r="J17" s="3">
        <v>8</v>
      </c>
      <c r="K17" s="4">
        <v>43.45799999999997</v>
      </c>
      <c r="L17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56.211' E 8° 43.458'</v>
      </c>
    </row>
    <row r="18" spans="1:12" x14ac:dyDescent="0.25">
      <c r="A18" t="s">
        <v>34</v>
      </c>
      <c r="B18" t="s">
        <v>49</v>
      </c>
      <c r="C18" s="1">
        <f>Tabelle1[[#This Row],[N-Grad]]+Tabelle1[[#This Row],[N-Minuten]]/60</f>
        <v>51.951083333333337</v>
      </c>
      <c r="D18" s="1">
        <f>Tabelle1[[#This Row],[E-Grad]]+Tabelle1[[#This Row],[E- Minuten]]/60</f>
        <v>8.6826799999999995</v>
      </c>
      <c r="E18" s="8" t="s">
        <v>112</v>
      </c>
      <c r="F18" s="1" t="s">
        <v>21</v>
      </c>
      <c r="G18" s="3">
        <v>51</v>
      </c>
      <c r="H18" s="4">
        <v>57.064999999999998</v>
      </c>
      <c r="I18" s="4" t="s">
        <v>17</v>
      </c>
      <c r="J18" s="3">
        <v>8</v>
      </c>
      <c r="K18" s="4">
        <v>40.960799999999971</v>
      </c>
      <c r="L18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57.065' E 8° 40.9608'</v>
      </c>
    </row>
    <row r="19" spans="1:12" x14ac:dyDescent="0.25">
      <c r="A19" t="s">
        <v>56</v>
      </c>
      <c r="B19" t="s">
        <v>57</v>
      </c>
      <c r="C19" s="1">
        <f>Tabelle1[[#This Row],[N-Grad]]+Tabelle1[[#This Row],[N-Minuten]]/60</f>
        <v>51.838983333333331</v>
      </c>
      <c r="D19" s="1">
        <f>Tabelle1[[#This Row],[E-Grad]]+Tabelle1[[#This Row],[E- Minuten]]/60</f>
        <v>8.9552666666666667</v>
      </c>
      <c r="E19" s="8" t="s">
        <v>112</v>
      </c>
      <c r="F19" s="1" t="s">
        <v>21</v>
      </c>
      <c r="G19" s="3">
        <v>51</v>
      </c>
      <c r="H19" s="4">
        <v>50.338999999999999</v>
      </c>
      <c r="I19" s="4" t="s">
        <v>17</v>
      </c>
      <c r="J19" s="3">
        <v>8</v>
      </c>
      <c r="K19" s="4">
        <v>57.316000000000003</v>
      </c>
      <c r="L19" s="4" t="str">
        <f>SUBSTITUTE(SUBSTITUTE(CONCATENATE("N ",Tabelle1[[#This Row],[N-Grad]],"° ",Tabelle1[[#This Row],[N-Minuten]],"' ",Tabelle1[[#This Row],[W / O]]," ",Tabelle1[[#This Row],[E-Grad]],"° ",Tabelle1[[#This Row],[E- Minuten]],"'"),",","."),"O","E")</f>
        <v>N 51° 50.339' E 8° 57.316'</v>
      </c>
    </row>
  </sheetData>
  <mergeCells count="3">
    <mergeCell ref="C2:D2"/>
    <mergeCell ref="B1:E1"/>
    <mergeCell ref="G2:K2"/>
  </mergeCells>
  <phoneticPr fontId="1" type="noConversion"/>
  <dataValidations count="2">
    <dataValidation type="list" allowBlank="1" showInputMessage="1" showErrorMessage="1" sqref="F4:F1048576" xr:uid="{5594F9A8-13F0-437D-B3CE-A74425659F65}">
      <formula1>"N,S"</formula1>
    </dataValidation>
    <dataValidation type="list" allowBlank="1" showInputMessage="1" showErrorMessage="1" sqref="I4:I1048576" xr:uid="{D2E630E9-3077-4460-9D5D-1C003BAD5D45}">
      <formula1>"W,O"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GPX_erzeugen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0</xdr:col>
                    <xdr:colOff>1085850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DDECC-D7BA-4995-B267-F84815550AA9}">
          <x14:formula1>
            <xm:f>Symbole!$A$2:$A$132</xm:f>
          </x14:formula1>
          <xm:sqref>E4:E19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58E5-7EE2-43A4-AA93-77F744DC9A57}">
  <sheetPr codeName="Tabelle2"/>
  <dimension ref="A1:K132"/>
  <sheetViews>
    <sheetView topLeftCell="A91" workbookViewId="0">
      <selection activeCell="A2" sqref="A2"/>
    </sheetView>
  </sheetViews>
  <sheetFormatPr baseColWidth="10" defaultRowHeight="15" x14ac:dyDescent="0.25"/>
  <cols>
    <col min="1" max="1" width="22.28515625" bestFit="1" customWidth="1"/>
    <col min="3" max="3" width="17.85546875" bestFit="1" customWidth="1"/>
    <col min="4" max="4" width="19.7109375" bestFit="1" customWidth="1"/>
    <col min="5" max="5" width="20" bestFit="1" customWidth="1"/>
    <col min="6" max="6" width="17.85546875" bestFit="1" customWidth="1"/>
    <col min="7" max="7" width="22.28515625" bestFit="1" customWidth="1"/>
    <col min="8" max="8" width="19.7109375" bestFit="1" customWidth="1"/>
    <col min="9" max="9" width="13.140625" bestFit="1" customWidth="1"/>
    <col min="10" max="10" width="15.5703125" bestFit="1" customWidth="1"/>
    <col min="11" max="11" width="22.28515625" bestFit="1" customWidth="1"/>
  </cols>
  <sheetData>
    <row r="1" spans="1:11" x14ac:dyDescent="0.25">
      <c r="A1" t="s">
        <v>58</v>
      </c>
      <c r="C1" s="9" t="s">
        <v>59</v>
      </c>
      <c r="D1" s="9" t="s">
        <v>60</v>
      </c>
      <c r="E1" s="9" t="s">
        <v>61</v>
      </c>
      <c r="F1" s="9" t="s">
        <v>62</v>
      </c>
      <c r="G1" s="9" t="s">
        <v>63</v>
      </c>
      <c r="H1" s="9" t="s">
        <v>64</v>
      </c>
      <c r="I1" s="9" t="s">
        <v>65</v>
      </c>
      <c r="J1" s="9" t="s">
        <v>66</v>
      </c>
      <c r="K1" s="9" t="s">
        <v>67</v>
      </c>
    </row>
    <row r="2" spans="1:11" x14ac:dyDescent="0.25">
      <c r="A2" t="s">
        <v>68</v>
      </c>
      <c r="C2" s="10" t="s">
        <v>69</v>
      </c>
      <c r="D2" s="10" t="s">
        <v>70</v>
      </c>
      <c r="E2" s="10" t="s">
        <v>71</v>
      </c>
      <c r="F2" s="10" t="s">
        <v>72</v>
      </c>
      <c r="G2" s="10" t="s">
        <v>73</v>
      </c>
      <c r="H2" s="10" t="s">
        <v>74</v>
      </c>
      <c r="I2" s="10" t="s">
        <v>75</v>
      </c>
      <c r="J2" s="10" t="s">
        <v>76</v>
      </c>
      <c r="K2" s="10" t="s">
        <v>77</v>
      </c>
    </row>
    <row r="3" spans="1:11" x14ac:dyDescent="0.25">
      <c r="A3" t="s">
        <v>78</v>
      </c>
      <c r="C3" s="10" t="s">
        <v>79</v>
      </c>
      <c r="D3" s="10" t="s">
        <v>80</v>
      </c>
      <c r="E3" s="10" t="s">
        <v>81</v>
      </c>
      <c r="F3" s="10" t="s">
        <v>82</v>
      </c>
      <c r="G3" s="10" t="s">
        <v>83</v>
      </c>
      <c r="H3" s="10" t="s">
        <v>84</v>
      </c>
      <c r="I3" s="10" t="s">
        <v>85</v>
      </c>
      <c r="J3" s="10" t="s">
        <v>86</v>
      </c>
      <c r="K3" s="10" t="s">
        <v>87</v>
      </c>
    </row>
    <row r="4" spans="1:11" x14ac:dyDescent="0.25">
      <c r="A4" s="11" t="s">
        <v>74</v>
      </c>
      <c r="C4" s="10" t="s">
        <v>88</v>
      </c>
      <c r="D4" s="10" t="s">
        <v>89</v>
      </c>
      <c r="E4" s="10" t="s">
        <v>90</v>
      </c>
      <c r="F4" s="10" t="s">
        <v>91</v>
      </c>
      <c r="G4" s="10" t="s">
        <v>92</v>
      </c>
      <c r="H4" s="10" t="s">
        <v>93</v>
      </c>
      <c r="I4" s="10" t="s">
        <v>94</v>
      </c>
      <c r="J4" s="10" t="s">
        <v>95</v>
      </c>
      <c r="K4" s="10" t="s">
        <v>96</v>
      </c>
    </row>
    <row r="5" spans="1:11" x14ac:dyDescent="0.25">
      <c r="A5" s="11" t="s">
        <v>97</v>
      </c>
      <c r="C5" s="10" t="s">
        <v>98</v>
      </c>
      <c r="D5" s="10" t="s">
        <v>68</v>
      </c>
      <c r="E5" s="10" t="s">
        <v>99</v>
      </c>
      <c r="F5" s="10" t="s">
        <v>69</v>
      </c>
      <c r="G5" s="10" t="s">
        <v>100</v>
      </c>
      <c r="H5" s="10" t="s">
        <v>101</v>
      </c>
      <c r="I5" s="10" t="s">
        <v>102</v>
      </c>
      <c r="J5" s="10" t="s">
        <v>103</v>
      </c>
      <c r="K5" s="10" t="s">
        <v>104</v>
      </c>
    </row>
    <row r="6" spans="1:11" x14ac:dyDescent="0.25">
      <c r="A6" s="11" t="s">
        <v>105</v>
      </c>
      <c r="C6" t="s">
        <v>106</v>
      </c>
      <c r="D6" t="s">
        <v>107</v>
      </c>
      <c r="E6" t="s">
        <v>108</v>
      </c>
      <c r="F6" t="s">
        <v>79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</row>
    <row r="7" spans="1:11" x14ac:dyDescent="0.25">
      <c r="A7" t="s">
        <v>114</v>
      </c>
      <c r="C7" t="s">
        <v>115</v>
      </c>
      <c r="D7" t="s">
        <v>116</v>
      </c>
      <c r="E7" t="s">
        <v>117</v>
      </c>
      <c r="F7" t="s">
        <v>118</v>
      </c>
      <c r="G7" t="s">
        <v>119</v>
      </c>
      <c r="H7" t="s">
        <v>120</v>
      </c>
      <c r="I7" t="s">
        <v>121</v>
      </c>
      <c r="J7" t="s">
        <v>84</v>
      </c>
      <c r="K7" t="s">
        <v>122</v>
      </c>
    </row>
    <row r="8" spans="1:11" x14ac:dyDescent="0.25">
      <c r="A8" t="s">
        <v>88</v>
      </c>
      <c r="C8" t="s">
        <v>123</v>
      </c>
      <c r="D8" t="s">
        <v>124</v>
      </c>
      <c r="E8" t="s">
        <v>125</v>
      </c>
      <c r="F8" t="s">
        <v>68</v>
      </c>
      <c r="G8" t="s">
        <v>126</v>
      </c>
      <c r="H8" t="s">
        <v>127</v>
      </c>
      <c r="I8" t="s">
        <v>128</v>
      </c>
      <c r="J8" t="s">
        <v>129</v>
      </c>
      <c r="K8" t="s">
        <v>130</v>
      </c>
    </row>
    <row r="9" spans="1:11" x14ac:dyDescent="0.25">
      <c r="A9" t="s">
        <v>98</v>
      </c>
      <c r="C9" t="s">
        <v>131</v>
      </c>
      <c r="D9" t="s">
        <v>132</v>
      </c>
      <c r="E9" t="s">
        <v>133</v>
      </c>
      <c r="F9" t="s">
        <v>134</v>
      </c>
      <c r="G9" t="s">
        <v>135</v>
      </c>
      <c r="H9" t="s">
        <v>136</v>
      </c>
      <c r="I9" t="s">
        <v>137</v>
      </c>
      <c r="J9" t="s">
        <v>138</v>
      </c>
      <c r="K9" t="s">
        <v>139</v>
      </c>
    </row>
    <row r="10" spans="1:11" x14ac:dyDescent="0.25">
      <c r="A10" s="11" t="s">
        <v>120</v>
      </c>
      <c r="C10" s="10" t="s">
        <v>124</v>
      </c>
      <c r="D10" s="10" t="s">
        <v>140</v>
      </c>
      <c r="E10" s="10" t="s">
        <v>141</v>
      </c>
      <c r="F10" s="10" t="s">
        <v>142</v>
      </c>
      <c r="G10" s="10" t="s">
        <v>143</v>
      </c>
      <c r="H10" s="10" t="s">
        <v>144</v>
      </c>
      <c r="I10" s="10" t="s">
        <v>145</v>
      </c>
      <c r="J10" s="10" t="s">
        <v>80</v>
      </c>
      <c r="K10" s="10" t="s">
        <v>146</v>
      </c>
    </row>
    <row r="11" spans="1:11" x14ac:dyDescent="0.25">
      <c r="A11" s="11" t="s">
        <v>147</v>
      </c>
      <c r="C11" s="10" t="s">
        <v>132</v>
      </c>
      <c r="D11" s="10" t="s">
        <v>148</v>
      </c>
      <c r="E11" s="10" t="s">
        <v>149</v>
      </c>
      <c r="F11" s="10" t="s">
        <v>150</v>
      </c>
      <c r="G11" s="10" t="s">
        <v>151</v>
      </c>
      <c r="H11" s="10" t="s">
        <v>152</v>
      </c>
      <c r="I11" s="10" t="s">
        <v>153</v>
      </c>
      <c r="J11" s="10" t="s">
        <v>107</v>
      </c>
      <c r="K11" s="10" t="s">
        <v>154</v>
      </c>
    </row>
    <row r="12" spans="1:11" x14ac:dyDescent="0.25">
      <c r="A12" s="11" t="s">
        <v>102</v>
      </c>
      <c r="C12" s="10" t="s">
        <v>70</v>
      </c>
      <c r="D12" s="10" t="s">
        <v>155</v>
      </c>
      <c r="E12" s="10" t="s">
        <v>156</v>
      </c>
      <c r="F12" s="10" t="s">
        <v>157</v>
      </c>
      <c r="G12" s="10" t="s">
        <v>158</v>
      </c>
      <c r="H12" s="10" t="s">
        <v>143</v>
      </c>
      <c r="I12" s="10" t="s">
        <v>97</v>
      </c>
      <c r="J12" s="10" t="s">
        <v>140</v>
      </c>
      <c r="K12" s="10" t="s">
        <v>159</v>
      </c>
    </row>
    <row r="13" spans="1:11" x14ac:dyDescent="0.25">
      <c r="A13" t="s">
        <v>160</v>
      </c>
      <c r="C13" s="10" t="s">
        <v>68</v>
      </c>
      <c r="D13" s="10" t="s">
        <v>161</v>
      </c>
      <c r="E13" s="10" t="s">
        <v>162</v>
      </c>
      <c r="F13" s="10" t="s">
        <v>163</v>
      </c>
      <c r="G13" s="10" t="s">
        <v>164</v>
      </c>
      <c r="H13" s="10" t="s">
        <v>119</v>
      </c>
      <c r="I13" s="10" t="s">
        <v>165</v>
      </c>
      <c r="J13" s="10" t="s">
        <v>120</v>
      </c>
      <c r="K13" s="10" t="s">
        <v>166</v>
      </c>
    </row>
    <row r="14" spans="1:11" x14ac:dyDescent="0.25">
      <c r="A14" s="11" t="s">
        <v>167</v>
      </c>
      <c r="C14" t="s">
        <v>168</v>
      </c>
      <c r="D14" t="s">
        <v>168</v>
      </c>
      <c r="E14" t="s">
        <v>169</v>
      </c>
      <c r="F14" t="s">
        <v>107</v>
      </c>
      <c r="G14" t="s">
        <v>134</v>
      </c>
      <c r="H14" t="s">
        <v>170</v>
      </c>
      <c r="I14" t="s">
        <v>171</v>
      </c>
      <c r="J14" t="s">
        <v>172</v>
      </c>
      <c r="K14" t="s">
        <v>90</v>
      </c>
    </row>
    <row r="15" spans="1:11" x14ac:dyDescent="0.25">
      <c r="A15" s="11" t="s">
        <v>146</v>
      </c>
      <c r="C15" t="s">
        <v>173</v>
      </c>
      <c r="D15" t="s">
        <v>174</v>
      </c>
      <c r="E15" t="s">
        <v>175</v>
      </c>
      <c r="F15" t="s">
        <v>124</v>
      </c>
      <c r="G15" t="s">
        <v>176</v>
      </c>
      <c r="H15" t="s">
        <v>177</v>
      </c>
      <c r="I15" t="s">
        <v>105</v>
      </c>
      <c r="J15" t="s">
        <v>178</v>
      </c>
      <c r="K15" t="s">
        <v>108</v>
      </c>
    </row>
    <row r="16" spans="1:11" x14ac:dyDescent="0.25">
      <c r="A16" s="11" t="s">
        <v>154</v>
      </c>
      <c r="C16" t="s">
        <v>179</v>
      </c>
      <c r="D16" t="s">
        <v>179</v>
      </c>
      <c r="E16" t="s">
        <v>144</v>
      </c>
      <c r="F16" t="s">
        <v>132</v>
      </c>
      <c r="G16" t="s">
        <v>104</v>
      </c>
      <c r="H16" t="s">
        <v>180</v>
      </c>
      <c r="I16" t="s">
        <v>181</v>
      </c>
      <c r="J16" t="s">
        <v>182</v>
      </c>
      <c r="K16" t="s">
        <v>149</v>
      </c>
    </row>
    <row r="17" spans="1:11" x14ac:dyDescent="0.25">
      <c r="A17" s="11" t="s">
        <v>159</v>
      </c>
      <c r="C17" t="s">
        <v>183</v>
      </c>
      <c r="D17" t="s">
        <v>183</v>
      </c>
      <c r="E17" t="s">
        <v>143</v>
      </c>
      <c r="F17" t="s">
        <v>176</v>
      </c>
      <c r="G17" t="s">
        <v>184</v>
      </c>
      <c r="H17" t="s">
        <v>124</v>
      </c>
      <c r="I17" t="s">
        <v>76</v>
      </c>
      <c r="J17" t="s">
        <v>161</v>
      </c>
      <c r="K17" t="s">
        <v>162</v>
      </c>
    </row>
    <row r="18" spans="1:11" x14ac:dyDescent="0.25">
      <c r="A18" s="11" t="s">
        <v>165</v>
      </c>
      <c r="C18" s="10" t="s">
        <v>185</v>
      </c>
      <c r="D18" s="10" t="s">
        <v>186</v>
      </c>
      <c r="E18" s="10" t="s">
        <v>119</v>
      </c>
      <c r="F18" s="10" t="s">
        <v>184</v>
      </c>
      <c r="G18" s="10" t="s">
        <v>187</v>
      </c>
      <c r="H18" s="10" t="s">
        <v>184</v>
      </c>
      <c r="I18" s="10" t="s">
        <v>167</v>
      </c>
      <c r="J18" s="10" t="s">
        <v>155</v>
      </c>
      <c r="K18" s="10" t="s">
        <v>71</v>
      </c>
    </row>
    <row r="19" spans="1:11" x14ac:dyDescent="0.25">
      <c r="A19" t="s">
        <v>148</v>
      </c>
      <c r="C19" s="10" t="s">
        <v>188</v>
      </c>
      <c r="D19" s="10" t="s">
        <v>176</v>
      </c>
      <c r="E19" s="10" t="s">
        <v>136</v>
      </c>
      <c r="F19" s="10" t="s">
        <v>186</v>
      </c>
      <c r="G19" s="10" t="s">
        <v>147</v>
      </c>
      <c r="H19" s="10" t="s">
        <v>189</v>
      </c>
      <c r="I19" s="10" t="s">
        <v>190</v>
      </c>
      <c r="J19" s="10" t="s">
        <v>139</v>
      </c>
      <c r="K19" s="10" t="s">
        <v>81</v>
      </c>
    </row>
    <row r="20" spans="1:11" x14ac:dyDescent="0.25">
      <c r="A20" t="s">
        <v>191</v>
      </c>
      <c r="C20" s="10" t="s">
        <v>139</v>
      </c>
      <c r="D20" s="10" t="s">
        <v>86</v>
      </c>
      <c r="E20" s="10"/>
      <c r="F20" s="10"/>
      <c r="G20" s="10"/>
      <c r="H20" s="10" t="s">
        <v>161</v>
      </c>
      <c r="I20" s="10"/>
      <c r="J20" s="10" t="s">
        <v>160</v>
      </c>
      <c r="K20" s="10" t="s">
        <v>125</v>
      </c>
    </row>
    <row r="21" spans="1:11" x14ac:dyDescent="0.25">
      <c r="A21" t="s">
        <v>184</v>
      </c>
      <c r="C21" s="10" t="s">
        <v>114</v>
      </c>
      <c r="D21" s="10" t="s">
        <v>160</v>
      </c>
      <c r="E21" s="10"/>
      <c r="F21" s="10"/>
      <c r="G21" s="10"/>
      <c r="H21" s="10" t="s">
        <v>148</v>
      </c>
      <c r="I21" s="10"/>
      <c r="J21" s="10" t="s">
        <v>164</v>
      </c>
      <c r="K21" s="10" t="s">
        <v>156</v>
      </c>
    </row>
    <row r="22" spans="1:11" x14ac:dyDescent="0.25">
      <c r="A22" s="11" t="s">
        <v>92</v>
      </c>
      <c r="C22" t="s">
        <v>191</v>
      </c>
      <c r="D22" t="s">
        <v>127</v>
      </c>
      <c r="H22" t="s">
        <v>155</v>
      </c>
      <c r="J22" t="s">
        <v>157</v>
      </c>
      <c r="K22" t="s">
        <v>192</v>
      </c>
    </row>
    <row r="23" spans="1:11" x14ac:dyDescent="0.25">
      <c r="A23" t="s">
        <v>144</v>
      </c>
      <c r="C23" t="s">
        <v>78</v>
      </c>
      <c r="D23" t="s">
        <v>182</v>
      </c>
      <c r="H23" t="s">
        <v>107</v>
      </c>
      <c r="J23" t="s">
        <v>193</v>
      </c>
      <c r="K23" t="s">
        <v>194</v>
      </c>
    </row>
    <row r="24" spans="1:11" x14ac:dyDescent="0.25">
      <c r="A24" s="11" t="s">
        <v>76</v>
      </c>
      <c r="C24" t="s">
        <v>166</v>
      </c>
      <c r="D24" t="s">
        <v>184</v>
      </c>
      <c r="H24" t="s">
        <v>69</v>
      </c>
      <c r="J24" t="s">
        <v>195</v>
      </c>
      <c r="K24" t="s">
        <v>196</v>
      </c>
    </row>
    <row r="25" spans="1:11" x14ac:dyDescent="0.25">
      <c r="A25" s="11" t="s">
        <v>72</v>
      </c>
      <c r="C25" t="s">
        <v>197</v>
      </c>
      <c r="D25" t="s">
        <v>189</v>
      </c>
      <c r="H25" t="s">
        <v>76</v>
      </c>
      <c r="J25" t="s">
        <v>198</v>
      </c>
      <c r="K25" t="s">
        <v>176</v>
      </c>
    </row>
    <row r="26" spans="1:11" x14ac:dyDescent="0.25">
      <c r="A26" s="11" t="s">
        <v>82</v>
      </c>
      <c r="C26" s="10"/>
      <c r="D26" s="10"/>
      <c r="E26" s="10"/>
      <c r="F26" s="10"/>
      <c r="G26" s="10"/>
      <c r="H26" s="10"/>
      <c r="I26" s="10"/>
      <c r="J26" s="10"/>
      <c r="K26" s="10" t="s">
        <v>73</v>
      </c>
    </row>
    <row r="27" spans="1:11" x14ac:dyDescent="0.25">
      <c r="A27" s="11" t="s">
        <v>91</v>
      </c>
      <c r="C27" s="10"/>
      <c r="D27" s="10"/>
      <c r="E27" s="10"/>
      <c r="F27" s="10"/>
      <c r="G27" s="10"/>
      <c r="H27" s="10"/>
      <c r="I27" s="10"/>
      <c r="J27" s="10"/>
      <c r="K27" s="10" t="s">
        <v>83</v>
      </c>
    </row>
    <row r="28" spans="1:11" x14ac:dyDescent="0.25">
      <c r="A28" s="11" t="s">
        <v>109</v>
      </c>
      <c r="C28" s="10"/>
      <c r="D28" s="10"/>
      <c r="E28" s="10"/>
      <c r="F28" s="10"/>
      <c r="G28" s="10"/>
      <c r="H28" s="10"/>
      <c r="I28" s="10"/>
      <c r="J28" s="10"/>
      <c r="K28" s="10" t="s">
        <v>181</v>
      </c>
    </row>
    <row r="29" spans="1:11" x14ac:dyDescent="0.25">
      <c r="A29" s="11" t="s">
        <v>100</v>
      </c>
      <c r="C29" s="10"/>
      <c r="D29" s="10"/>
      <c r="E29" s="10"/>
      <c r="F29" s="10"/>
      <c r="G29" s="10"/>
      <c r="H29" s="10"/>
      <c r="I29" s="10"/>
      <c r="J29" s="10"/>
      <c r="K29" s="10" t="s">
        <v>188</v>
      </c>
    </row>
    <row r="30" spans="1:11" x14ac:dyDescent="0.25">
      <c r="A30" s="11" t="s">
        <v>196</v>
      </c>
    </row>
    <row r="31" spans="1:11" x14ac:dyDescent="0.25">
      <c r="A31" s="11" t="s">
        <v>194</v>
      </c>
    </row>
    <row r="32" spans="1:11" x14ac:dyDescent="0.25">
      <c r="A32" s="11" t="s">
        <v>192</v>
      </c>
    </row>
    <row r="33" spans="1:1" x14ac:dyDescent="0.25">
      <c r="A33" s="11" t="s">
        <v>104</v>
      </c>
    </row>
    <row r="34" spans="1:1" x14ac:dyDescent="0.25">
      <c r="A34" s="11" t="s">
        <v>170</v>
      </c>
    </row>
    <row r="35" spans="1:1" x14ac:dyDescent="0.25">
      <c r="A35" t="s">
        <v>79</v>
      </c>
    </row>
    <row r="36" spans="1:1" x14ac:dyDescent="0.25">
      <c r="A36" s="11" t="s">
        <v>128</v>
      </c>
    </row>
    <row r="37" spans="1:1" x14ac:dyDescent="0.25">
      <c r="A37" s="11" t="s">
        <v>121</v>
      </c>
    </row>
    <row r="38" spans="1:1" x14ac:dyDescent="0.25">
      <c r="A38" t="s">
        <v>176</v>
      </c>
    </row>
    <row r="39" spans="1:1" x14ac:dyDescent="0.25">
      <c r="A39" t="s">
        <v>189</v>
      </c>
    </row>
    <row r="40" spans="1:1" x14ac:dyDescent="0.25">
      <c r="A40" s="11" t="s">
        <v>180</v>
      </c>
    </row>
    <row r="41" spans="1:1" x14ac:dyDescent="0.25">
      <c r="A41" t="s">
        <v>106</v>
      </c>
    </row>
    <row r="42" spans="1:1" x14ac:dyDescent="0.25">
      <c r="A42" s="11" t="s">
        <v>101</v>
      </c>
    </row>
    <row r="43" spans="1:1" x14ac:dyDescent="0.25">
      <c r="A43" s="11" t="s">
        <v>110</v>
      </c>
    </row>
    <row r="44" spans="1:1" x14ac:dyDescent="0.25">
      <c r="A44" s="11" t="s">
        <v>164</v>
      </c>
    </row>
    <row r="45" spans="1:1" x14ac:dyDescent="0.25">
      <c r="A45" t="s">
        <v>123</v>
      </c>
    </row>
    <row r="46" spans="1:1" x14ac:dyDescent="0.25">
      <c r="A46" s="11" t="s">
        <v>84</v>
      </c>
    </row>
    <row r="47" spans="1:1" x14ac:dyDescent="0.25">
      <c r="A47" s="11" t="s">
        <v>83</v>
      </c>
    </row>
    <row r="48" spans="1:1" x14ac:dyDescent="0.25">
      <c r="A48" t="s">
        <v>168</v>
      </c>
    </row>
    <row r="49" spans="1:1" x14ac:dyDescent="0.25">
      <c r="A49" s="11" t="s">
        <v>77</v>
      </c>
    </row>
    <row r="50" spans="1:1" x14ac:dyDescent="0.25">
      <c r="A50" s="11" t="s">
        <v>87</v>
      </c>
    </row>
    <row r="51" spans="1:1" x14ac:dyDescent="0.25">
      <c r="A51" s="11" t="s">
        <v>96</v>
      </c>
    </row>
    <row r="52" spans="1:1" x14ac:dyDescent="0.25">
      <c r="A52" s="11" t="s">
        <v>153</v>
      </c>
    </row>
    <row r="53" spans="1:1" x14ac:dyDescent="0.25">
      <c r="A53" s="11" t="s">
        <v>103</v>
      </c>
    </row>
    <row r="54" spans="1:1" x14ac:dyDescent="0.25">
      <c r="A54" s="11" t="s">
        <v>94</v>
      </c>
    </row>
    <row r="55" spans="1:1" x14ac:dyDescent="0.25">
      <c r="A55" t="s">
        <v>69</v>
      </c>
    </row>
    <row r="56" spans="1:1" x14ac:dyDescent="0.25">
      <c r="A56" s="11" t="s">
        <v>129</v>
      </c>
    </row>
    <row r="57" spans="1:1" x14ac:dyDescent="0.25">
      <c r="A57" s="11" t="s">
        <v>138</v>
      </c>
    </row>
    <row r="58" spans="1:1" x14ac:dyDescent="0.25">
      <c r="A58" s="11" t="s">
        <v>195</v>
      </c>
    </row>
    <row r="59" spans="1:1" x14ac:dyDescent="0.25">
      <c r="A59" t="s">
        <v>139</v>
      </c>
    </row>
    <row r="60" spans="1:1" x14ac:dyDescent="0.25">
      <c r="A60" s="11" t="s">
        <v>119</v>
      </c>
    </row>
    <row r="61" spans="1:1" x14ac:dyDescent="0.25">
      <c r="A61" t="s">
        <v>174</v>
      </c>
    </row>
    <row r="62" spans="1:1" x14ac:dyDescent="0.25">
      <c r="A62" t="s">
        <v>116</v>
      </c>
    </row>
    <row r="63" spans="1:1" x14ac:dyDescent="0.25">
      <c r="A63" t="s">
        <v>136</v>
      </c>
    </row>
    <row r="64" spans="1:1" x14ac:dyDescent="0.25">
      <c r="A64" s="11" t="s">
        <v>136</v>
      </c>
    </row>
    <row r="65" spans="1:1" x14ac:dyDescent="0.25">
      <c r="A65" t="s">
        <v>173</v>
      </c>
    </row>
    <row r="66" spans="1:1" x14ac:dyDescent="0.25">
      <c r="A66" s="11" t="s">
        <v>181</v>
      </c>
    </row>
    <row r="67" spans="1:1" x14ac:dyDescent="0.25">
      <c r="A67" s="11" t="s">
        <v>132</v>
      </c>
    </row>
    <row r="68" spans="1:1" x14ac:dyDescent="0.25">
      <c r="A68" s="11" t="s">
        <v>93</v>
      </c>
    </row>
    <row r="69" spans="1:1" x14ac:dyDescent="0.25">
      <c r="A69" t="s">
        <v>179</v>
      </c>
    </row>
    <row r="70" spans="1:1" x14ac:dyDescent="0.25">
      <c r="A70" s="11" t="s">
        <v>158</v>
      </c>
    </row>
    <row r="71" spans="1:1" x14ac:dyDescent="0.25">
      <c r="A71" t="s">
        <v>115</v>
      </c>
    </row>
    <row r="72" spans="1:1" x14ac:dyDescent="0.25">
      <c r="A72" t="s">
        <v>188</v>
      </c>
    </row>
    <row r="73" spans="1:1" x14ac:dyDescent="0.25">
      <c r="A73" s="11" t="s">
        <v>71</v>
      </c>
    </row>
    <row r="74" spans="1:1" x14ac:dyDescent="0.25">
      <c r="A74" t="s">
        <v>81</v>
      </c>
    </row>
    <row r="75" spans="1:1" x14ac:dyDescent="0.25">
      <c r="A75" t="s">
        <v>90</v>
      </c>
    </row>
    <row r="76" spans="1:1" x14ac:dyDescent="0.25">
      <c r="A76" t="s">
        <v>108</v>
      </c>
    </row>
    <row r="77" spans="1:1" x14ac:dyDescent="0.25">
      <c r="A77" t="s">
        <v>117</v>
      </c>
    </row>
    <row r="78" spans="1:1" x14ac:dyDescent="0.25">
      <c r="A78" t="s">
        <v>99</v>
      </c>
    </row>
    <row r="79" spans="1:1" x14ac:dyDescent="0.25">
      <c r="A79" t="s">
        <v>125</v>
      </c>
    </row>
    <row r="80" spans="1:1" x14ac:dyDescent="0.25">
      <c r="A80" s="11" t="s">
        <v>149</v>
      </c>
    </row>
    <row r="81" spans="1:1" x14ac:dyDescent="0.25">
      <c r="A81" t="s">
        <v>133</v>
      </c>
    </row>
    <row r="82" spans="1:1" x14ac:dyDescent="0.25">
      <c r="A82" t="s">
        <v>141</v>
      </c>
    </row>
    <row r="83" spans="1:1" x14ac:dyDescent="0.25">
      <c r="A83" t="s">
        <v>156</v>
      </c>
    </row>
    <row r="84" spans="1:1" x14ac:dyDescent="0.25">
      <c r="A84" s="11" t="s">
        <v>162</v>
      </c>
    </row>
    <row r="85" spans="1:1" x14ac:dyDescent="0.25">
      <c r="A85" t="s">
        <v>169</v>
      </c>
    </row>
    <row r="86" spans="1:1" x14ac:dyDescent="0.25">
      <c r="A86" t="s">
        <v>175</v>
      </c>
    </row>
    <row r="87" spans="1:1" x14ac:dyDescent="0.25">
      <c r="A87" s="11" t="s">
        <v>151</v>
      </c>
    </row>
    <row r="88" spans="1:1" x14ac:dyDescent="0.25">
      <c r="A88" s="11" t="s">
        <v>193</v>
      </c>
    </row>
    <row r="89" spans="1:1" x14ac:dyDescent="0.25">
      <c r="A89" s="11" t="s">
        <v>95</v>
      </c>
    </row>
    <row r="90" spans="1:1" x14ac:dyDescent="0.25">
      <c r="A90" t="s">
        <v>186</v>
      </c>
    </row>
    <row r="91" spans="1:1" x14ac:dyDescent="0.25">
      <c r="A91" t="s">
        <v>183</v>
      </c>
    </row>
    <row r="92" spans="1:1" x14ac:dyDescent="0.25">
      <c r="A92" t="s">
        <v>80</v>
      </c>
    </row>
    <row r="93" spans="1:1" x14ac:dyDescent="0.25">
      <c r="A93" s="11" t="s">
        <v>113</v>
      </c>
    </row>
    <row r="94" spans="1:1" x14ac:dyDescent="0.25">
      <c r="A94" s="11" t="s">
        <v>122</v>
      </c>
    </row>
    <row r="95" spans="1:1" x14ac:dyDescent="0.25">
      <c r="A95" s="11" t="s">
        <v>130</v>
      </c>
    </row>
    <row r="96" spans="1:1" x14ac:dyDescent="0.25">
      <c r="A96" t="s">
        <v>131</v>
      </c>
    </row>
    <row r="97" spans="1:1" x14ac:dyDescent="0.25">
      <c r="A97" s="11" t="s">
        <v>187</v>
      </c>
    </row>
    <row r="98" spans="1:1" x14ac:dyDescent="0.25">
      <c r="A98" t="s">
        <v>185</v>
      </c>
    </row>
    <row r="99" spans="1:1" x14ac:dyDescent="0.25">
      <c r="A99" t="s">
        <v>143</v>
      </c>
    </row>
    <row r="100" spans="1:1" x14ac:dyDescent="0.25">
      <c r="A100" s="11" t="s">
        <v>73</v>
      </c>
    </row>
    <row r="101" spans="1:1" x14ac:dyDescent="0.25">
      <c r="A101" t="s">
        <v>124</v>
      </c>
    </row>
    <row r="102" spans="1:1" x14ac:dyDescent="0.25">
      <c r="A102" s="11" t="s">
        <v>177</v>
      </c>
    </row>
    <row r="103" spans="1:1" x14ac:dyDescent="0.25">
      <c r="A103" t="s">
        <v>107</v>
      </c>
    </row>
    <row r="104" spans="1:1" x14ac:dyDescent="0.25">
      <c r="A104" s="11" t="s">
        <v>172</v>
      </c>
    </row>
    <row r="105" spans="1:1" x14ac:dyDescent="0.25">
      <c r="A105" s="11" t="s">
        <v>118</v>
      </c>
    </row>
    <row r="106" spans="1:1" x14ac:dyDescent="0.25">
      <c r="A106" s="11" t="s">
        <v>178</v>
      </c>
    </row>
    <row r="107" spans="1:1" x14ac:dyDescent="0.25">
      <c r="A107" s="11" t="s">
        <v>134</v>
      </c>
    </row>
    <row r="108" spans="1:1" x14ac:dyDescent="0.25">
      <c r="A108" s="11" t="s">
        <v>152</v>
      </c>
    </row>
    <row r="109" spans="1:1" x14ac:dyDescent="0.25">
      <c r="A109" t="s">
        <v>70</v>
      </c>
    </row>
    <row r="110" spans="1:1" x14ac:dyDescent="0.25">
      <c r="A110" s="11" t="s">
        <v>135</v>
      </c>
    </row>
    <row r="111" spans="1:1" x14ac:dyDescent="0.25">
      <c r="A111" t="s">
        <v>140</v>
      </c>
    </row>
    <row r="112" spans="1:1" x14ac:dyDescent="0.25">
      <c r="A112" s="11" t="s">
        <v>182</v>
      </c>
    </row>
    <row r="113" spans="1:1" x14ac:dyDescent="0.25">
      <c r="A113" s="11" t="s">
        <v>127</v>
      </c>
    </row>
    <row r="114" spans="1:1" x14ac:dyDescent="0.25">
      <c r="A114" s="11" t="s">
        <v>111</v>
      </c>
    </row>
    <row r="115" spans="1:1" x14ac:dyDescent="0.25">
      <c r="A115" s="11" t="s">
        <v>166</v>
      </c>
    </row>
    <row r="116" spans="1:1" x14ac:dyDescent="0.25">
      <c r="A116" s="11" t="s">
        <v>112</v>
      </c>
    </row>
    <row r="117" spans="1:1" x14ac:dyDescent="0.25">
      <c r="A117" t="s">
        <v>161</v>
      </c>
    </row>
    <row r="118" spans="1:1" x14ac:dyDescent="0.25">
      <c r="A118" s="11" t="s">
        <v>126</v>
      </c>
    </row>
    <row r="119" spans="1:1" x14ac:dyDescent="0.25">
      <c r="A119" t="s">
        <v>89</v>
      </c>
    </row>
    <row r="120" spans="1:1" x14ac:dyDescent="0.25">
      <c r="A120" s="11" t="s">
        <v>163</v>
      </c>
    </row>
    <row r="121" spans="1:1" x14ac:dyDescent="0.25">
      <c r="A121" t="s">
        <v>86</v>
      </c>
    </row>
    <row r="122" spans="1:1" x14ac:dyDescent="0.25">
      <c r="A122" s="11" t="s">
        <v>190</v>
      </c>
    </row>
    <row r="123" spans="1:1" x14ac:dyDescent="0.25">
      <c r="A123" s="11" t="s">
        <v>137</v>
      </c>
    </row>
    <row r="124" spans="1:1" x14ac:dyDescent="0.25">
      <c r="A124" s="11" t="s">
        <v>171</v>
      </c>
    </row>
    <row r="125" spans="1:1" x14ac:dyDescent="0.25">
      <c r="A125" s="11" t="s">
        <v>142</v>
      </c>
    </row>
    <row r="126" spans="1:1" x14ac:dyDescent="0.25">
      <c r="A126" s="11" t="s">
        <v>157</v>
      </c>
    </row>
    <row r="127" spans="1:1" x14ac:dyDescent="0.25">
      <c r="A127" s="11" t="s">
        <v>198</v>
      </c>
    </row>
    <row r="128" spans="1:1" x14ac:dyDescent="0.25">
      <c r="A128" s="11" t="s">
        <v>75</v>
      </c>
    </row>
    <row r="129" spans="1:1" x14ac:dyDescent="0.25">
      <c r="A129" s="11" t="s">
        <v>145</v>
      </c>
    </row>
    <row r="130" spans="1:1" x14ac:dyDescent="0.25">
      <c r="A130" s="11" t="s">
        <v>85</v>
      </c>
    </row>
    <row r="131" spans="1:1" x14ac:dyDescent="0.25">
      <c r="A131" s="11" t="s">
        <v>150</v>
      </c>
    </row>
    <row r="132" spans="1:1" x14ac:dyDescent="0.25">
      <c r="A132" t="s">
        <v>197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02736-16E2-470E-A119-0C6B0C3D0D98}">
  <sheetPr codeName="Tabelle3"/>
  <dimension ref="A1:A8"/>
  <sheetViews>
    <sheetView workbookViewId="0">
      <selection activeCell="A8" sqref="A8"/>
    </sheetView>
  </sheetViews>
  <sheetFormatPr baseColWidth="10" defaultRowHeight="15" x14ac:dyDescent="0.25"/>
  <cols>
    <col min="1" max="1" width="87.140625" style="6" bestFit="1" customWidth="1"/>
    <col min="2" max="16384" width="11.42578125" style="6"/>
  </cols>
  <sheetData>
    <row r="1" spans="1:1" ht="21" customHeight="1" x14ac:dyDescent="0.25">
      <c r="A1" s="6" t="s">
        <v>12</v>
      </c>
    </row>
    <row r="2" spans="1:1" ht="66" customHeight="1" x14ac:dyDescent="0.25">
      <c r="A2" s="6" t="s">
        <v>53</v>
      </c>
    </row>
    <row r="3" spans="1:1" ht="21.75" customHeight="1" x14ac:dyDescent="0.25">
      <c r="A3" s="6" t="s">
        <v>13</v>
      </c>
    </row>
    <row r="4" spans="1:1" ht="36.75" customHeight="1" x14ac:dyDescent="0.25">
      <c r="A4" s="6" t="s">
        <v>54</v>
      </c>
    </row>
    <row r="5" spans="1:1" ht="21" customHeight="1" x14ac:dyDescent="0.25">
      <c r="A5" s="6" t="s">
        <v>14</v>
      </c>
    </row>
    <row r="6" spans="1:1" ht="20.25" customHeight="1" x14ac:dyDescent="0.25">
      <c r="A6" s="6" t="s">
        <v>15</v>
      </c>
    </row>
    <row r="7" spans="1:1" ht="19.5" customHeight="1" x14ac:dyDescent="0.25">
      <c r="A7" s="6" t="s">
        <v>55</v>
      </c>
    </row>
    <row r="8" spans="1:1" ht="83.25" customHeight="1" x14ac:dyDescent="0.25">
      <c r="A8" s="6" t="s">
        <v>16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Wegpunkte</vt:lpstr>
      <vt:lpstr>Symbole</vt:lpstr>
      <vt:lpstr>Hilfe</vt:lpstr>
      <vt:lpstr>Symbole!Symbole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Spelter</dc:creator>
  <cp:lastModifiedBy>Andreas Spelter</cp:lastModifiedBy>
  <dcterms:created xsi:type="dcterms:W3CDTF">2020-07-15T10:23:58Z</dcterms:created>
  <dcterms:modified xsi:type="dcterms:W3CDTF">2025-02-15T13:50:29Z</dcterms:modified>
</cp:coreProperties>
</file>